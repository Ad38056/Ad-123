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\Desktop\"/>
    </mc:Choice>
  </mc:AlternateContent>
  <xr:revisionPtr revIDLastSave="0" documentId="13_ncr:1_{C2CD35C6-635C-41FB-A5BB-B9C5DC94D8DA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Sheet1" sheetId="6" r:id="rId1"/>
    <sheet name="Product_Master" sheetId="8" r:id="rId2"/>
    <sheet name="Sale_Purchase" sheetId="7" r:id="rId3"/>
    <sheet name="Sale_Purchase_Display" sheetId="9" r:id="rId4"/>
    <sheet name="Inventory" sheetId="12" r:id="rId5"/>
    <sheet name="Inventory_Display" sheetId="13" r:id="rId6"/>
  </sheets>
  <definedNames>
    <definedName name="_xlnm._FilterDatabase" localSheetId="4" hidden="1">Inventory!$A$1:$E$6</definedName>
    <definedName name="_xlnm._FilterDatabase" localSheetId="5" hidden="1">Inventory_Display!$A$1:$E$1</definedName>
    <definedName name="_xlnm._FilterDatabase" localSheetId="2" hidden="1">Sale_Purchase!$A$1:$H$9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7" l="1"/>
  <c r="F2" i="7" s="1"/>
  <c r="G2" i="7" s="1"/>
  <c r="A2" i="7"/>
  <c r="E2" i="8"/>
</calcChain>
</file>

<file path=xl/sharedStrings.xml><?xml version="1.0" encoding="utf-8"?>
<sst xmlns="http://schemas.openxmlformats.org/spreadsheetml/2006/main" count="59" uniqueCount="20">
  <si>
    <t>S.No.</t>
  </si>
  <si>
    <t>Product</t>
  </si>
  <si>
    <t>Sale Price</t>
  </si>
  <si>
    <t>Purchase Price</t>
  </si>
  <si>
    <t>Notebook</t>
  </si>
  <si>
    <t>Pc</t>
  </si>
  <si>
    <t>tabelet</t>
  </si>
  <si>
    <t>Iphon</t>
  </si>
  <si>
    <t>Profit</t>
  </si>
  <si>
    <t>Sale</t>
  </si>
  <si>
    <t>ad</t>
  </si>
  <si>
    <t>Purchase</t>
  </si>
  <si>
    <t>Available Stock</t>
  </si>
  <si>
    <t>Stock value</t>
  </si>
  <si>
    <t>Prodct</t>
  </si>
  <si>
    <t>Type</t>
  </si>
  <si>
    <t>Qty</t>
  </si>
  <si>
    <t>Price</t>
  </si>
  <si>
    <t>Date</t>
  </si>
  <si>
    <t>S.No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</si>
</sst>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G22" sqref="G22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6"/>
  <sheetViews>
    <sheetView showGridLines="0" tabSelected="1" workbookViewId="0">
      <selection activeCell="F13" sqref="F13"/>
    </sheetView>
  </sheetViews>
  <sheetFormatPr defaultRowHeight="15" x14ac:dyDescent="0.25"/>
  <cols>
    <col min="3" max="3" width="11.5703125" customWidth="1"/>
    <col min="4" max="4" width="14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</row>
    <row r="2" spans="1:5" x14ac:dyDescent="0.25">
      <c r="A2">
        <v>1</v>
      </c>
      <c r="B2" t="s">
        <v>4</v>
      </c>
      <c r="C2">
        <v>67</v>
      </c>
      <c r="D2">
        <v>34</v>
      </c>
      <c r="E2">
        <f>VLOOKUP(B2,Product_Master!B:C,2)</f>
        <v>67</v>
      </c>
    </row>
    <row r="3" spans="1:5" x14ac:dyDescent="0.25">
      <c r="A3">
        <v>2</v>
      </c>
      <c r="B3" t="s">
        <v>5</v>
      </c>
      <c r="C3">
        <v>35000</v>
      </c>
      <c r="D3">
        <v>25000</v>
      </c>
    </row>
    <row r="4" spans="1:5" x14ac:dyDescent="0.25">
      <c r="A4">
        <v>3</v>
      </c>
      <c r="B4" t="s">
        <v>6</v>
      </c>
      <c r="C4">
        <v>8000</v>
      </c>
      <c r="D4">
        <v>5000</v>
      </c>
    </row>
    <row r="5" spans="1:5" x14ac:dyDescent="0.25">
      <c r="A5">
        <v>4</v>
      </c>
      <c r="B5" t="s">
        <v>7</v>
      </c>
      <c r="C5">
        <v>40000</v>
      </c>
      <c r="D5">
        <v>34000</v>
      </c>
    </row>
    <row r="6" spans="1:5" x14ac:dyDescent="0.25">
      <c r="A6">
        <v>5</v>
      </c>
      <c r="B6" t="s">
        <v>10</v>
      </c>
      <c r="C6">
        <v>45</v>
      </c>
      <c r="D6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9"/>
  <sheetViews>
    <sheetView workbookViewId="0">
      <selection activeCell="G2" sqref="G2"/>
    </sheetView>
  </sheetViews>
  <sheetFormatPr defaultRowHeight="15" x14ac:dyDescent="0.25"/>
  <cols>
    <col min="8" max="8" width="11.140625" style="1" bestFit="1" customWidth="1"/>
  </cols>
  <sheetData>
    <row r="1" spans="1:8" x14ac:dyDescent="0.25">
      <c r="A1" t="s">
        <v>19</v>
      </c>
      <c r="B1" t="s">
        <v>14</v>
      </c>
      <c r="C1" t="s">
        <v>15</v>
      </c>
      <c r="D1" t="s">
        <v>16</v>
      </c>
      <c r="E1" t="s">
        <v>17</v>
      </c>
      <c r="F1" t="s">
        <v>8</v>
      </c>
      <c r="G1" t="s">
        <v>18</v>
      </c>
    </row>
    <row r="2" spans="1:8" x14ac:dyDescent="0.25">
      <c r="A2">
        <f>ROW()-1</f>
        <v>1</v>
      </c>
      <c r="B2" t="s">
        <v>4</v>
      </c>
      <c r="C2" t="s">
        <v>9</v>
      </c>
      <c r="D2">
        <v>10</v>
      </c>
      <c r="E2">
        <f>VLOOKUP(B2,Product_Master!B:C,2)</f>
        <v>67</v>
      </c>
      <c r="F2">
        <f>D2*E2</f>
        <v>670</v>
      </c>
      <c r="G2">
        <f>F2-VLOOKUP(B2,Product_Master!B:D,3,0)*D2</f>
        <v>330</v>
      </c>
    </row>
    <row r="3" spans="1:8" x14ac:dyDescent="0.25">
      <c r="A3">
        <v>2</v>
      </c>
      <c r="B3" t="s">
        <v>4</v>
      </c>
      <c r="C3" t="s">
        <v>9</v>
      </c>
      <c r="D3">
        <v>12</v>
      </c>
      <c r="E3">
        <v>336</v>
      </c>
      <c r="F3">
        <v>28</v>
      </c>
    </row>
    <row r="4" spans="1:8" x14ac:dyDescent="0.25">
      <c r="A4">
        <v>3</v>
      </c>
      <c r="B4" t="s">
        <v>6</v>
      </c>
      <c r="C4" t="s">
        <v>9</v>
      </c>
      <c r="D4">
        <v>8</v>
      </c>
      <c r="E4">
        <v>512000</v>
      </c>
      <c r="F4">
        <v>64000</v>
      </c>
    </row>
    <row r="5" spans="1:8" x14ac:dyDescent="0.25">
      <c r="A5">
        <v>4</v>
      </c>
      <c r="B5" t="s">
        <v>5</v>
      </c>
      <c r="C5" t="s">
        <v>9</v>
      </c>
      <c r="D5">
        <v>6</v>
      </c>
      <c r="E5">
        <v>210000</v>
      </c>
      <c r="F5">
        <v>35000</v>
      </c>
    </row>
    <row r="6" spans="1:8" x14ac:dyDescent="0.25">
      <c r="A6">
        <v>5</v>
      </c>
      <c r="B6" t="s">
        <v>4</v>
      </c>
      <c r="C6" t="s">
        <v>9</v>
      </c>
      <c r="D6">
        <v>12</v>
      </c>
      <c r="E6">
        <v>336</v>
      </c>
      <c r="F6">
        <v>28</v>
      </c>
    </row>
    <row r="7" spans="1:8" x14ac:dyDescent="0.25">
      <c r="A7">
        <v>6</v>
      </c>
      <c r="B7" t="s">
        <v>4</v>
      </c>
      <c r="C7" t="s">
        <v>9</v>
      </c>
      <c r="D7">
        <v>19</v>
      </c>
      <c r="E7">
        <v>532</v>
      </c>
      <c r="F7">
        <v>28</v>
      </c>
    </row>
    <row r="8" spans="1:8" x14ac:dyDescent="0.25">
      <c r="A8">
        <v>7</v>
      </c>
      <c r="B8" t="s">
        <v>6</v>
      </c>
      <c r="C8" t="s">
        <v>9</v>
      </c>
      <c r="D8">
        <v>5</v>
      </c>
      <c r="E8">
        <v>40000</v>
      </c>
      <c r="F8">
        <v>8000</v>
      </c>
      <c r="H8" s="1">
        <v>45783</v>
      </c>
    </row>
    <row r="9" spans="1:8" x14ac:dyDescent="0.25">
      <c r="A9">
        <v>8</v>
      </c>
      <c r="B9" t="s">
        <v>4</v>
      </c>
      <c r="C9" t="s">
        <v>9</v>
      </c>
      <c r="D9">
        <v>13</v>
      </c>
      <c r="E9">
        <v>871</v>
      </c>
      <c r="F9">
        <v>67</v>
      </c>
      <c r="H9" s="1">
        <v>45783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1"/>
  <sheetViews>
    <sheetView workbookViewId="0">
      <selection sqref="A1:H1"/>
    </sheetView>
  </sheetViews>
  <sheetFormatPr defaultRowHeight="15" x14ac:dyDescent="0.25"/>
  <sheetData>
    <row r="1" spans="1:8" x14ac:dyDescent="0.25">
      <c r="A1" t="s">
        <v>19</v>
      </c>
      <c r="B1" t="s">
        <v>14</v>
      </c>
      <c r="C1" t="s">
        <v>15</v>
      </c>
      <c r="D1" t="s">
        <v>16</v>
      </c>
      <c r="E1" t="s">
        <v>17</v>
      </c>
      <c r="F1" t="s">
        <v>8</v>
      </c>
      <c r="G1" t="s">
        <v>18</v>
      </c>
      <c r="H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E6"/>
  <sheetViews>
    <sheetView workbookViewId="0">
      <selection sqref="A1:E6"/>
    </sheetView>
  </sheetViews>
  <sheetFormatPr defaultRowHeight="15" x14ac:dyDescent="0.25"/>
  <cols>
    <col min="4" max="4" width="14" customWidth="1"/>
    <col min="5" max="5" width="11.28515625" customWidth="1"/>
  </cols>
  <sheetData>
    <row r="1" spans="1:5" x14ac:dyDescent="0.25">
      <c r="A1" t="s">
        <v>1</v>
      </c>
      <c r="B1" t="s">
        <v>11</v>
      </c>
      <c r="C1" t="s">
        <v>9</v>
      </c>
      <c r="D1" t="s">
        <v>12</v>
      </c>
      <c r="E1" t="s">
        <v>13</v>
      </c>
    </row>
    <row r="2" spans="1:5" x14ac:dyDescent="0.25">
      <c r="A2" t="s">
        <v>4</v>
      </c>
    </row>
    <row r="3" spans="1:5" x14ac:dyDescent="0.25">
      <c r="A3" t="s">
        <v>5</v>
      </c>
    </row>
    <row r="4" spans="1:5" x14ac:dyDescent="0.25">
      <c r="A4" t="s">
        <v>6</v>
      </c>
    </row>
    <row r="5" spans="1:5" x14ac:dyDescent="0.25">
      <c r="A5" t="s">
        <v>7</v>
      </c>
    </row>
    <row r="6" spans="1:5" x14ac:dyDescent="0.25">
      <c r="A6" t="s">
        <v>10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E6"/>
  <sheetViews>
    <sheetView workbookViewId="0">
      <selection activeCell="K6" sqref="K6"/>
    </sheetView>
  </sheetViews>
  <sheetFormatPr defaultRowHeight="15" x14ac:dyDescent="0.25"/>
  <cols>
    <col min="5" max="5" width="11.42578125" customWidth="1"/>
  </cols>
  <sheetData>
    <row r="1" spans="1:5" x14ac:dyDescent="0.25">
      <c r="A1" t="s">
        <v>1</v>
      </c>
      <c r="B1" t="s">
        <v>11</v>
      </c>
      <c r="C1" t="s">
        <v>9</v>
      </c>
      <c r="D1" t="s">
        <v>12</v>
      </c>
      <c r="E1" t="s">
        <v>13</v>
      </c>
    </row>
    <row r="2" spans="1:5" x14ac:dyDescent="0.25">
      <c r="A2" t="s">
        <v>4</v>
      </c>
    </row>
    <row r="3" spans="1:5" x14ac:dyDescent="0.25">
      <c r="A3" t="s">
        <v>5</v>
      </c>
    </row>
    <row r="4" spans="1:5" x14ac:dyDescent="0.25">
      <c r="A4" t="s">
        <v>6</v>
      </c>
    </row>
    <row r="5" spans="1:5" x14ac:dyDescent="0.25">
      <c r="A5" t="s">
        <v>7</v>
      </c>
    </row>
    <row r="6" spans="1:5" x14ac:dyDescent="0.25">
      <c r="A6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Product_Master</vt:lpstr>
      <vt:lpstr>Sale_Purchase</vt:lpstr>
      <vt:lpstr>Sale_Purchase_Display</vt:lpstr>
      <vt:lpstr>Inventory</vt:lpstr>
      <vt:lpstr>Inventory_Display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Gizachew Dagnew</cp:lastModifiedBy>
  <dcterms:created xsi:type="dcterms:W3CDTF">2022-09-01T03:52:58Z</dcterms:created>
  <dcterms:modified xsi:type="dcterms:W3CDTF">2025-05-07T12:00:59Z</dcterms:modified>
</cp:coreProperties>
</file>